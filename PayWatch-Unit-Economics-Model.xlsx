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PayWatch model</author>
  </authors>
  <commentList>
    <comment ref="B23" authorId="0">
      <text>
        <r>
          <rPr>
            <sz val="10"/>
            <rFont val="Arial"/>
            <family val="2"/>
          </rPr>
          <t xml:space="preserve">Churn is the single biggest driver of LTV. 5% monthly churn = 20-month life; 10% = 10 months.</t>
        </r>
      </text>
    </comment>
    <comment ref="B32" authorId="0">
      <text>
        <r>
          <rPr>
            <sz val="10"/>
            <rFont val="Arial"/>
            <family val="2"/>
          </rPr>
          <t xml:space="preserve">Free→paid conversion drives CAC. 2% vs 5% doubles your CAC for the same spend.</t>
        </r>
      </text>
    </comment>
  </commentList>
</comments>
</file>

<file path=xl/sharedStrings.xml><?xml version="1.0" encoding="utf-8"?>
<sst xmlns="http://schemas.openxmlformats.org/spreadsheetml/2006/main" count="68" uniqueCount="62">
  <si>
    <t xml:space="preserve">PayWatch — Unit Economics Model</t>
  </si>
  <si>
    <t xml:space="preserve">Edit only the YELLOW cells (blue text). Black cells auto-calculate. Numbers below are realistic PLACEHOLDERS — replace them with your real figures as you run acquisition experiments.</t>
  </si>
  <si>
    <t xml:space="preserve">Legend:  yellow = your input   ·   black = formula   ·   all money in ₹ per paying user unless noted</t>
  </si>
  <si>
    <t xml:space="preserve">1 · REVENUE PER PAYING USER</t>
  </si>
  <si>
    <t xml:space="preserve">Starter price (₹/mo)</t>
  </si>
  <si>
    <t xml:space="preserve">Your Starter plan price</t>
  </si>
  <si>
    <t xml:space="preserve">CFO price (₹/mo)</t>
  </si>
  <si>
    <t xml:space="preserve">Your CFO plan price</t>
  </si>
  <si>
    <t xml:space="preserve">% of paying users on Starter</t>
  </si>
  <si>
    <t xml:space="preserve">Rest are on CFO</t>
  </si>
  <si>
    <t xml:space="preserve">% of paying users on CFO</t>
  </si>
  <si>
    <t xml:space="preserve">Subscription ARPU (₹/mo)</t>
  </si>
  <si>
    <t xml:space="preserve">Blended avg revenue per paying user</t>
  </si>
  <si>
    <t xml:space="preserve">Mutual-fund trail commission (₹/user/yr)</t>
  </si>
  <si>
    <t xml:space="preserve">From AMFI MFD distribution — start small</t>
  </si>
  <si>
    <t xml:space="preserve">Insurance commission (₹/user/yr)</t>
  </si>
  <si>
    <t xml:space="preserve">Via licensed partner / corporate agent</t>
  </si>
  <si>
    <t xml:space="preserve">Distribution ARPU (₹/mo)</t>
  </si>
  <si>
    <t xml:space="preserve">TOTAL ARPU (₹/mo)</t>
  </si>
  <si>
    <t xml:space="preserve">Total revenue per paying user per month</t>
  </si>
  <si>
    <t xml:space="preserve">2 · GROSS MARGIN</t>
  </si>
  <si>
    <t xml:space="preserve">Variable cost / user / mo (infra+AI+support)</t>
  </si>
  <si>
    <t xml:space="preserve">Hosting, DB, Claude API, support per user</t>
  </si>
  <si>
    <t xml:space="preserve">Payment-gateway fee (% of revenue)</t>
  </si>
  <si>
    <t xml:space="preserve">Razorpay etc.</t>
  </si>
  <si>
    <t xml:space="preserve">Gross margin (₹/user/mo)</t>
  </si>
  <si>
    <t xml:space="preserve">Gross margin (%)</t>
  </si>
  <si>
    <t xml:space="preserve">3 · RETENTION</t>
  </si>
  <si>
    <t xml:space="preserve">Monthly churn (%)</t>
  </si>
  <si>
    <t xml:space="preserve">Share of paying users lost each month — the key lever</t>
  </si>
  <si>
    <t xml:space="preserve">Avg customer lifetime (months)</t>
  </si>
  <si>
    <t xml:space="preserve">lifetime = 1 divided by churn</t>
  </si>
  <si>
    <t xml:space="preserve">4 · LIFETIME VALUE (LTV)</t>
  </si>
  <si>
    <t xml:space="preserve">LTV (₹)</t>
  </si>
  <si>
    <t xml:space="preserve">Gross margin/mo × lifetime — what one paying user is worth</t>
  </si>
  <si>
    <t xml:space="preserve">5 · CUSTOMER ACQUISITION (CAC)</t>
  </si>
  <si>
    <t xml:space="preserve">Marketing spend in period (₹)</t>
  </si>
  <si>
    <t xml:space="preserve">What you spent to acquire users</t>
  </si>
  <si>
    <t xml:space="preserve">Signups in period</t>
  </si>
  <si>
    <t xml:space="preserve">Free signups generated</t>
  </si>
  <si>
    <t xml:space="preserve">Free → paid conversion (%)</t>
  </si>
  <si>
    <t xml:space="preserve">Share of signups who become paying — the other key lever</t>
  </si>
  <si>
    <t xml:space="preserve">New paying customers</t>
  </si>
  <si>
    <t xml:space="preserve">CAC (₹)</t>
  </si>
  <si>
    <t xml:space="preserve">Cost to acquire one PAYING customer</t>
  </si>
  <si>
    <t xml:space="preserve">6 · VERDICT</t>
  </si>
  <si>
    <t xml:space="preserve">LTV : CAC ratio</t>
  </si>
  <si>
    <t xml:space="preserve">Target ≥ 3x   (below 3 = unit economics don't work)</t>
  </si>
  <si>
    <t xml:space="preserve">CAC payback (months)</t>
  </si>
  <si>
    <t xml:space="preserve">Months to recover CAC   ·   target &lt; 12</t>
  </si>
  <si>
    <t xml:space="preserve">Health check</t>
  </si>
  <si>
    <t xml:space="preserve">Scenario Comparison</t>
  </si>
  <si>
    <t xml:space="preserve">Same model under three sets of assumptions. Edit the yellow input rows per column.</t>
  </si>
  <si>
    <t xml:space="preserve">Metric</t>
  </si>
  <si>
    <t xml:space="preserve">Conservative</t>
  </si>
  <si>
    <t xml:space="preserve">Base</t>
  </si>
  <si>
    <t xml:space="preserve">Optimistic</t>
  </si>
  <si>
    <t xml:space="preserve">Total ARPU (₹/mo)</t>
  </si>
  <si>
    <t xml:space="preserve">Gross margin (₹/mo)</t>
  </si>
  <si>
    <t xml:space="preserve">Customer lifetime (months)</t>
  </si>
  <si>
    <t xml:space="preserve">Verdict</t>
  </si>
  <si>
    <t xml:space="preserve">Note: all figures are illustrative placeholders. The real numbers come from live acquisition tests — this model turns those into a survive/thrive signal.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</si>
</sst>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%"/>
    <numFmt numFmtId="167" formatCode="0.0&quot; mo&quot;"/>
    <numFmt numFmtId="168" formatCode="#,##0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F2A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2F2A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2F2A"/>
        <bgColor rgb="FF1A1A1A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E0DA"/>
      </left>
      <right style="thin">
        <color rgb="FFD5E0DA"/>
      </right>
      <top style="thin">
        <color rgb="FFD5E0DA"/>
      </top>
      <bottom style="thin">
        <color rgb="FFD5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7CC"/>
      <rgbColor rgb="FFCCFFFF"/>
      <rgbColor rgb="FF660066"/>
      <rgbColor rgb="FFFF8080"/>
      <rgbColor rgb="FF0066CC"/>
      <rgbColor rgb="FFD5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2F2A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6" t="n">
        <v>199</v>
      </c>
      <c r="C6" s="2" t="s">
        <v>5</v>
      </c>
    </row>
    <row r="7" customFormat="false" ht="15" hidden="false" customHeight="false" outlineLevel="0" collapsed="false">
      <c r="A7" s="5" t="s">
        <v>6</v>
      </c>
      <c r="B7" s="6" t="n">
        <v>499</v>
      </c>
      <c r="C7" s="2" t="s">
        <v>7</v>
      </c>
    </row>
    <row r="8" customFormat="false" ht="15" hidden="false" customHeight="false" outlineLevel="0" collapsed="false">
      <c r="A8" s="5" t="s">
        <v>8</v>
      </c>
      <c r="B8" s="7" t="n">
        <v>0.65</v>
      </c>
      <c r="C8" s="2" t="s">
        <v>9</v>
      </c>
    </row>
    <row r="9" customFormat="false" ht="15" hidden="false" customHeight="false" outlineLevel="0" collapsed="false">
      <c r="A9" s="5" t="s">
        <v>10</v>
      </c>
      <c r="B9" s="8" t="n">
        <f aca="false">1-B8</f>
        <v>0.35</v>
      </c>
    </row>
    <row r="10" customFormat="false" ht="15" hidden="false" customHeight="false" outlineLevel="0" collapsed="false">
      <c r="A10" s="5" t="s">
        <v>11</v>
      </c>
      <c r="B10" s="9" t="n">
        <f aca="false">B6*B8+B7*B9</f>
        <v>304</v>
      </c>
      <c r="C10" s="2" t="s">
        <v>12</v>
      </c>
    </row>
    <row r="11" customFormat="false" ht="15" hidden="false" customHeight="false" outlineLevel="0" collapsed="false">
      <c r="A11" s="5" t="s">
        <v>13</v>
      </c>
      <c r="B11" s="6" t="n">
        <v>300</v>
      </c>
      <c r="C11" s="2" t="s">
        <v>14</v>
      </c>
    </row>
    <row r="12" customFormat="false" ht="15" hidden="false" customHeight="false" outlineLevel="0" collapsed="false">
      <c r="A12" s="5" t="s">
        <v>15</v>
      </c>
      <c r="B12" s="6" t="n">
        <v>300</v>
      </c>
      <c r="C12" s="2" t="s">
        <v>16</v>
      </c>
    </row>
    <row r="13" customFormat="false" ht="15" hidden="false" customHeight="false" outlineLevel="0" collapsed="false">
      <c r="A13" s="5" t="s">
        <v>17</v>
      </c>
      <c r="B13" s="9" t="n">
        <f aca="false">(B11+B12)/12</f>
        <v>50</v>
      </c>
    </row>
    <row r="14" customFormat="false" ht="15" hidden="false" customHeight="false" outlineLevel="0" collapsed="false">
      <c r="A14" s="10" t="s">
        <v>18</v>
      </c>
      <c r="B14" s="11" t="n">
        <f aca="false">B10+B13</f>
        <v>354</v>
      </c>
      <c r="C14" s="2" t="s">
        <v>19</v>
      </c>
    </row>
    <row r="16" customFormat="false" ht="15" hidden="false" customHeight="false" outlineLevel="0" collapsed="false">
      <c r="A16" s="3" t="s">
        <v>20</v>
      </c>
      <c r="B16" s="4"/>
      <c r="C16" s="4"/>
    </row>
    <row r="17" customFormat="false" ht="15" hidden="false" customHeight="false" outlineLevel="0" collapsed="false">
      <c r="A17" s="5" t="s">
        <v>21</v>
      </c>
      <c r="B17" s="6" t="n">
        <v>45</v>
      </c>
      <c r="C17" s="2" t="s">
        <v>22</v>
      </c>
    </row>
    <row r="18" customFormat="false" ht="15" hidden="false" customHeight="false" outlineLevel="0" collapsed="false">
      <c r="A18" s="5" t="s">
        <v>23</v>
      </c>
      <c r="B18" s="7" t="n">
        <v>0.025</v>
      </c>
      <c r="C18" s="2" t="s">
        <v>24</v>
      </c>
    </row>
    <row r="19" customFormat="false" ht="15" hidden="false" customHeight="false" outlineLevel="0" collapsed="false">
      <c r="A19" s="5" t="s">
        <v>25</v>
      </c>
      <c r="B19" s="9" t="n">
        <f aca="false">B14-B17-(B14*B18)</f>
        <v>300.15</v>
      </c>
    </row>
    <row r="20" customFormat="false" ht="15" hidden="false" customHeight="false" outlineLevel="0" collapsed="false">
      <c r="A20" s="5" t="s">
        <v>26</v>
      </c>
      <c r="B20" s="8" t="n">
        <f aca="false">IF(B14&gt;0,B19/B14,0)</f>
        <v>0.847881355932203</v>
      </c>
    </row>
    <row r="22" customFormat="false" ht="15" hidden="false" customHeight="false" outlineLevel="0" collapsed="false">
      <c r="A22" s="3" t="s">
        <v>27</v>
      </c>
      <c r="B22" s="4"/>
      <c r="C22" s="4"/>
    </row>
    <row r="23" customFormat="false" ht="15" hidden="false" customHeight="false" outlineLevel="0" collapsed="false">
      <c r="A23" s="5" t="s">
        <v>28</v>
      </c>
      <c r="B23" s="7" t="n">
        <v>0.08</v>
      </c>
      <c r="C23" s="2" t="s">
        <v>29</v>
      </c>
    </row>
    <row r="24" customFormat="false" ht="15" hidden="false" customHeight="false" outlineLevel="0" collapsed="false">
      <c r="A24" s="5" t="s">
        <v>30</v>
      </c>
      <c r="B24" s="12" t="n">
        <f aca="false">IF(B23&gt;0,1/B23,0)</f>
        <v>12.5</v>
      </c>
      <c r="C24" s="2" t="s">
        <v>31</v>
      </c>
    </row>
    <row r="26" customFormat="false" ht="15" hidden="false" customHeight="false" outlineLevel="0" collapsed="false">
      <c r="A26" s="3" t="s">
        <v>32</v>
      </c>
      <c r="B26" s="4"/>
      <c r="C26" s="4"/>
    </row>
    <row r="27" customFormat="false" ht="15" hidden="false" customHeight="false" outlineLevel="0" collapsed="false">
      <c r="A27" s="10" t="s">
        <v>33</v>
      </c>
      <c r="B27" s="11" t="n">
        <f aca="false">B19*B24</f>
        <v>3751.875</v>
      </c>
      <c r="C27" s="2" t="s">
        <v>34</v>
      </c>
    </row>
    <row r="29" customFormat="false" ht="15" hidden="false" customHeight="false" outlineLevel="0" collapsed="false">
      <c r="A29" s="3" t="s">
        <v>35</v>
      </c>
      <c r="B29" s="4"/>
      <c r="C29" s="4"/>
    </row>
    <row r="30" customFormat="false" ht="15" hidden="false" customHeight="false" outlineLevel="0" collapsed="false">
      <c r="A30" s="5" t="s">
        <v>36</v>
      </c>
      <c r="B30" s="6" t="n">
        <v>100000</v>
      </c>
      <c r="C30" s="2" t="s">
        <v>37</v>
      </c>
    </row>
    <row r="31" customFormat="false" ht="15" hidden="false" customHeight="false" outlineLevel="0" collapsed="false">
      <c r="A31" s="5" t="s">
        <v>38</v>
      </c>
      <c r="B31" s="13" t="n">
        <v>2000</v>
      </c>
      <c r="C31" s="2" t="s">
        <v>39</v>
      </c>
    </row>
    <row r="32" customFormat="false" ht="15" hidden="false" customHeight="false" outlineLevel="0" collapsed="false">
      <c r="A32" s="5" t="s">
        <v>40</v>
      </c>
      <c r="B32" s="7" t="n">
        <v>0.05</v>
      </c>
      <c r="C32" s="2" t="s">
        <v>41</v>
      </c>
    </row>
    <row r="33" customFormat="false" ht="15" hidden="false" customHeight="false" outlineLevel="0" collapsed="false">
      <c r="A33" s="5" t="s">
        <v>42</v>
      </c>
      <c r="B33" s="14" t="n">
        <f aca="false">B31*B32</f>
        <v>100</v>
      </c>
    </row>
    <row r="34" customFormat="false" ht="15" hidden="false" customHeight="false" outlineLevel="0" collapsed="false">
      <c r="A34" s="10" t="s">
        <v>43</v>
      </c>
      <c r="B34" s="11" t="n">
        <f aca="false">IF(B33&gt;0,B30/B33,0)</f>
        <v>1000</v>
      </c>
      <c r="C34" s="2" t="s">
        <v>44</v>
      </c>
    </row>
    <row r="36" customFormat="false" ht="15" hidden="false" customHeight="false" outlineLevel="0" collapsed="false">
      <c r="A36" s="3" t="s">
        <v>45</v>
      </c>
      <c r="B36" s="4"/>
      <c r="C36" s="4"/>
    </row>
    <row r="37" customFormat="false" ht="15" hidden="false" customHeight="false" outlineLevel="0" collapsed="false">
      <c r="A37" s="10" t="s">
        <v>46</v>
      </c>
      <c r="B37" s="15" t="n">
        <f aca="false">IF(B34&gt;0,B27/B34,0)</f>
        <v>3.751875</v>
      </c>
      <c r="C37" s="2" t="s">
        <v>47</v>
      </c>
    </row>
    <row r="38" customFormat="false" ht="15" hidden="false" customHeight="false" outlineLevel="0" collapsed="false">
      <c r="A38" s="10" t="s">
        <v>48</v>
      </c>
      <c r="B38" s="16" t="n">
        <f aca="false">IF(B19&gt;0,B34/B19,0)</f>
        <v>3.33166749958354</v>
      </c>
      <c r="C38" s="2" t="s">
        <v>49</v>
      </c>
    </row>
    <row r="40" customFormat="false" ht="15" hidden="false" customHeight="false" outlineLevel="0" collapsed="false">
      <c r="A40" s="17" t="s">
        <v>50</v>
      </c>
      <c r="B40" s="18" t="str">
        <f aca="false">IF(B37&gt;=3,"HEALTHY","NEEDS WORK")</f>
        <v>HEALTHY</v>
      </c>
      <c r="C40" s="2" t="str">
        <f aca="false">IF(B37&gt;=3,"Unit economics work — a user is worth more than they cost.","Raise ARPU or retention, or lower CAC, until LTV:CAC ≥ 3.")</f>
        <v>Unit economics work — a user is worth more than they cost.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5" min="3" style="0" width="15"/>
  </cols>
  <sheetData>
    <row r="1" customFormat="false" ht="18.5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4"/>
      <c r="C4" s="19" t="s">
        <v>54</v>
      </c>
      <c r="D4" s="19" t="s">
        <v>55</v>
      </c>
      <c r="E4" s="19" t="s">
        <v>56</v>
      </c>
    </row>
    <row r="5" customFormat="false" ht="15" hidden="false" customHeight="false" outlineLevel="0" collapsed="false">
      <c r="A5" s="5" t="s">
        <v>57</v>
      </c>
      <c r="C5" s="6" t="n">
        <v>250</v>
      </c>
      <c r="D5" s="6" t="n">
        <v>354</v>
      </c>
      <c r="E5" s="6" t="n">
        <v>450</v>
      </c>
    </row>
    <row r="6" customFormat="false" ht="15" hidden="false" customHeight="false" outlineLevel="0" collapsed="false">
      <c r="A6" s="5" t="s">
        <v>26</v>
      </c>
      <c r="C6" s="7" t="n">
        <v>0.8</v>
      </c>
      <c r="D6" s="7" t="n">
        <v>0.85</v>
      </c>
      <c r="E6" s="7" t="n">
        <v>0.88</v>
      </c>
    </row>
    <row r="7" customFormat="false" ht="15" hidden="false" customHeight="false" outlineLevel="0" collapsed="false">
      <c r="A7" s="5" t="s">
        <v>58</v>
      </c>
      <c r="C7" s="9" t="n">
        <f aca="false">C5*C6</f>
        <v>200</v>
      </c>
      <c r="D7" s="9" t="n">
        <f aca="false">D5*D6</f>
        <v>300.9</v>
      </c>
      <c r="E7" s="9" t="n">
        <f aca="false">E5*E6</f>
        <v>396</v>
      </c>
    </row>
    <row r="8" customFormat="false" ht="15" hidden="false" customHeight="false" outlineLevel="0" collapsed="false">
      <c r="A8" s="5" t="s">
        <v>28</v>
      </c>
      <c r="C8" s="7" t="n">
        <v>0.12</v>
      </c>
      <c r="D8" s="7" t="n">
        <v>0.08</v>
      </c>
      <c r="E8" s="7" t="n">
        <v>0.05</v>
      </c>
    </row>
    <row r="9" customFormat="false" ht="15" hidden="false" customHeight="false" outlineLevel="0" collapsed="false">
      <c r="A9" s="5" t="s">
        <v>59</v>
      </c>
      <c r="C9" s="12" t="n">
        <f aca="false">IF(C8&gt;0,1/C8,0)</f>
        <v>8.33333333333333</v>
      </c>
      <c r="D9" s="12" t="n">
        <f aca="false">IF(D8&gt;0,1/D8,0)</f>
        <v>12.5</v>
      </c>
      <c r="E9" s="12" t="n">
        <f aca="false">IF(E8&gt;0,1/E8,0)</f>
        <v>20</v>
      </c>
    </row>
    <row r="10" customFormat="false" ht="15" hidden="false" customHeight="false" outlineLevel="0" collapsed="false">
      <c r="A10" s="5" t="s">
        <v>33</v>
      </c>
      <c r="C10" s="9" t="n">
        <f aca="false">C7*C9</f>
        <v>1666.66666666667</v>
      </c>
      <c r="D10" s="9" t="n">
        <f aca="false">D7*D9</f>
        <v>3761.25</v>
      </c>
      <c r="E10" s="9" t="n">
        <f aca="false">E7*E9</f>
        <v>7920</v>
      </c>
    </row>
    <row r="11" customFormat="false" ht="15" hidden="false" customHeight="false" outlineLevel="0" collapsed="false">
      <c r="A11" s="5" t="s">
        <v>43</v>
      </c>
      <c r="C11" s="6" t="n">
        <v>1500</v>
      </c>
      <c r="D11" s="6" t="n">
        <v>1000</v>
      </c>
      <c r="E11" s="6" t="n">
        <v>700</v>
      </c>
    </row>
    <row r="12" customFormat="false" ht="15" hidden="false" customHeight="false" outlineLevel="0" collapsed="false">
      <c r="A12" s="5" t="s">
        <v>46</v>
      </c>
      <c r="C12" s="15" t="n">
        <f aca="false">IF(C11&gt;0,C10/C11,0)</f>
        <v>1.11111111111111</v>
      </c>
      <c r="D12" s="15" t="n">
        <f aca="false">IF(D11&gt;0,D10/D11,0)</f>
        <v>3.76125</v>
      </c>
      <c r="E12" s="15" t="n">
        <f aca="false">IF(E11&gt;0,E10/E11,0)</f>
        <v>11.3142857142857</v>
      </c>
    </row>
    <row r="13" customFormat="false" ht="15" hidden="false" customHeight="false" outlineLevel="0" collapsed="false">
      <c r="A13" s="5" t="s">
        <v>48</v>
      </c>
      <c r="C13" s="16" t="n">
        <f aca="false">IF(C7&gt;0,C11/C7,0)</f>
        <v>7.5</v>
      </c>
      <c r="D13" s="16" t="n">
        <f aca="false">IF(D7&gt;0,D11/D7,0)</f>
        <v>3.32336324360253</v>
      </c>
      <c r="E13" s="16" t="n">
        <f aca="false">IF(E7&gt;0,E11/E7,0)</f>
        <v>1.76767676767677</v>
      </c>
    </row>
    <row r="14" customFormat="false" ht="15" hidden="false" customHeight="false" outlineLevel="0" collapsed="false">
      <c r="A14" s="5" t="s">
        <v>60</v>
      </c>
      <c r="C14" s="20" t="str">
        <f aca="false">IF(C12&gt;=3,"Healthy","Needs work")</f>
        <v>Needs work</v>
      </c>
      <c r="D14" s="20" t="str">
        <f aca="false">IF(D12&gt;=3,"Healthy","Needs work")</f>
        <v>Healthy</v>
      </c>
      <c r="E14" s="20" t="str">
        <f aca="false">IF(E12&gt;=3,"Healthy","Needs work")</f>
        <v>Healthy</v>
      </c>
    </row>
    <row r="16" customFormat="false" ht="15" hidden="false" customHeight="false" outlineLevel="0" collapsed="false">
      <c r="A1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2026-08-30T16:06:20Z</dcterms:created>
  <dc:creator>openpyxl</dc:creator>
  <dc:description/>
  <dc:language>en-US</dc:language>
  <cp:lastModifiedBy/>
  <dcterms:modified xsi:type="dcterms:W3CDTF">2026-08-30T16:06:20Z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