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e per user" sheetId="1" state="visible" r:id="rId3"/>
    <sheet name="Cost curve &amp; breakeven" sheetId="2" state="visible" r:id="rId4"/>
    <sheet name="Scale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PayWatch</author>
  </authors>
  <commentList>
    <comment ref="B6" authorId="0">
      <text>
        <r>
          <rPr>
            <sz val="10"/>
            <rFont val="Arial"/>
            <family val="2"/>
          </rPr>
          <t xml:space="preserve">From running taxReductionPlan() over the 15 income-earning personas: average ₹1,27,676/yr of tax-saving opportunities identified.</t>
        </r>
      </text>
    </comment>
    <comment ref="B7" authorId="0">
      <text>
        <r>
          <rPr>
            <sz val="10"/>
            <rFont val="Arial"/>
            <family val="2"/>
          </rPr>
          <t xml:space="preserve">From growthProjection(): average 10-yr wealth difference between the do-nothing path and the PayWatch plan was ₹65.8L (nominal).</t>
        </r>
      </text>
    </comment>
  </commentList>
</comments>
</file>

<file path=xl/sharedStrings.xml><?xml version="1.0" encoding="utf-8"?>
<sst xmlns="http://schemas.openxmlformats.org/spreadsheetml/2006/main" count="69" uniqueCount="69">
  <si>
    <t xml:space="preserve">PayWatch — Value Created per User</t>
  </si>
  <si>
    <t xml:space="preserve">Figures marked ENGINE were computed by PayWatch's own deterministic engines over 15 representative Indian profiles (the demo personas). They are OPPORTUNITIES IDENTIFIED, not yet realised outcomes — realised value is what the validation phase will measure.</t>
  </si>
  <si>
    <t xml:space="preserve">Yellow = your assumption to edit. Blue = input. Black = formula.</t>
  </si>
  <si>
    <t xml:space="preserve">1 · WHAT THE ENGINE IDENTIFIES (per user)</t>
  </si>
  <si>
    <t xml:space="preserve">Tax-saving opportunities identified / yr (₹)</t>
  </si>
  <si>
    <t xml:space="preserve">ENGINE avg was ₹1.28L; using a conservative ₹1.0L</t>
  </si>
  <si>
    <t xml:space="preserve">Projected 10-yr wealth uplift from the plan (₹)</t>
  </si>
  <si>
    <t xml:space="preserve">ENGINE avg 10-yr uplift was ₹65.8L; conservative ₹40L (nominal, illustrative)</t>
  </si>
  <si>
    <t xml:space="preserve">Under-insurance (protection gap) surfaced / user (₹)</t>
  </si>
  <si>
    <t xml:space="preserve">ENGINE avg ₹3.8Cr (skewed by HNI); using ₹20L — informational, not 'saved'</t>
  </si>
  <si>
    <t xml:space="preserve">Hours/yr saved vs manual + advisor coordination</t>
  </si>
  <si>
    <t xml:space="preserve">ASSUMPTION — validate with users (Vighnesh)</t>
  </si>
  <si>
    <t xml:space="preserve">Value of user's time (₹/hour)</t>
  </si>
  <si>
    <t xml:space="preserve">ASSUMPTION</t>
  </si>
  <si>
    <t xml:space="preserve">2 · REALISED VALUE (what users actually capture)</t>
  </si>
  <si>
    <t xml:space="preserve">Realised capture rate (% of identified value acted on)</t>
  </si>
  <si>
    <t xml:space="preserve">KEY ASSUMPTION — users act on a fraction; validate</t>
  </si>
  <si>
    <t xml:space="preserve">Realised tax value / user / yr (₹)</t>
  </si>
  <si>
    <t xml:space="preserve">Realised time value / user / yr (₹)</t>
  </si>
  <si>
    <t xml:space="preserve">Realised direct value / user / yr (₹)</t>
  </si>
  <si>
    <t xml:space="preserve">Tax + time (the defensible, near-term number)</t>
  </si>
  <si>
    <t xml:space="preserve">+ Projected long-term wealth uplift / user (₹)</t>
  </si>
  <si>
    <t xml:space="preserve">10-yr, illustrative — the 'why it matters' number</t>
  </si>
  <si>
    <t xml:space="preserve">3 · AGGREGATE VALUE CREATED (at scale)</t>
  </si>
  <si>
    <t xml:space="preserve">Users</t>
  </si>
  <si>
    <t xml:space="preserve">Realised value/yr created</t>
  </si>
  <si>
    <t xml:space="preserve">Cumulative wealth uplift</t>
  </si>
  <si>
    <t xml:space="preserve">Headline for investors: at 100k users PayWatch identifies ~₹1L+/user/yr in tax alone; even at a 25% realised capture it creates real, measurable rupee value — and validation will report the ACTUAL capture rate.</t>
  </si>
  <si>
    <t xml:space="preserve">Cost per User &amp; Breakeven</t>
  </si>
  <si>
    <t xml:space="preserve">How per-user cost falls as fixed costs spread over more users, and the user count where PayWatch turns profitable.</t>
  </si>
  <si>
    <t xml:space="preserve">ASSUMPTIONS</t>
  </si>
  <si>
    <t xml:space="preserve">ARPU per PAYING user / mo (₹)</t>
  </si>
  <si>
    <t xml:space="preserve">subscription + distribution blend</t>
  </si>
  <si>
    <t xml:space="preserve">Free → paid conversion</t>
  </si>
  <si>
    <t xml:space="preserve">Blended revenue per ACTIVE user / mo (₹)</t>
  </si>
  <si>
    <t xml:space="preserve">ARPU times conversion</t>
  </si>
  <si>
    <t xml:space="preserve">Variable cost per active user / mo (₹)</t>
  </si>
  <si>
    <t xml:space="preserve">AI API + infra + support + PG</t>
  </si>
  <si>
    <t xml:space="preserve">Fixed cost / mo (₹)</t>
  </si>
  <si>
    <t xml:space="preserve">team + infra base + tools</t>
  </si>
  <si>
    <t xml:space="preserve">Contribution / active user / mo (₹)</t>
  </si>
  <si>
    <t xml:space="preserve">revenue − variable cost</t>
  </si>
  <si>
    <t xml:space="preserve">BREAKEVEN — active users needed</t>
  </si>
  <si>
    <t xml:space="preserve">fixed ÷ contribution/user</t>
  </si>
  <si>
    <t xml:space="preserve">COST PER USER AS YOU SCALE</t>
  </si>
  <si>
    <t xml:space="preserve">Active users</t>
  </si>
  <si>
    <t xml:space="preserve">Cost / user / mo</t>
  </si>
  <si>
    <t xml:space="preserve">Revenue / user</t>
  </si>
  <si>
    <t xml:space="preserve">Profit / user</t>
  </si>
  <si>
    <t xml:space="preserve">Monthly profit</t>
  </si>
  <si>
    <t xml:space="preserve">Read it: cost/user falls fast as fixed cost spreads; profit/user turns positive once you pass the breakeven user count above. This is the classic software scale curve.</t>
  </si>
  <si>
    <t xml:space="preserve">Scalability Plan — path to profit</t>
  </si>
  <si>
    <t xml:space="preserve">Milestone view. Edit the yellow user targets per milestone; the rest computes. All monthly figures.</t>
  </si>
  <si>
    <t xml:space="preserve">Metric</t>
  </si>
  <si>
    <t xml:space="preserve">Launch</t>
  </si>
  <si>
    <t xml:space="preserve">Month 6</t>
  </si>
  <si>
    <t xml:space="preserve">Month 12</t>
  </si>
  <si>
    <t xml:space="preserve">Month 18</t>
  </si>
  <si>
    <t xml:space="preserve">Month 24</t>
  </si>
  <si>
    <t xml:space="preserve">Total active users</t>
  </si>
  <si>
    <t xml:space="preserve">Paying users</t>
  </si>
  <si>
    <t xml:space="preserve">MRR (₹)</t>
  </si>
  <si>
    <t xml:space="preserve">Monthly cost (₹)</t>
  </si>
  <si>
    <t xml:space="preserve">fixed + variable×users (fixed may step up in reality)</t>
  </si>
  <si>
    <t xml:space="preserve">Monthly profit (₹)</t>
  </si>
  <si>
    <t xml:space="preserve">Value created/yr for users (₹)</t>
  </si>
  <si>
    <t xml:space="preserve">realised direct value × users</t>
  </si>
  <si>
    <t xml:space="preserve">Note: the fixed cost is held flat here for clarity; in reality it steps up as you hire — model that when you have real numbers. Breakeven is where Monthly profit turns positive.</t>
  </si>
  <si>
    <t xml:space="preserve">All numbers are a planning model on stated assumptions, not a forecast. Replace the yellow cells with real figures as validation produces them.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</si>
</sst>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#,##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F2A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2F2A"/>
      <name val="Arial"/>
      <family val="0"/>
      <charset val="1"/>
    </font>
    <font>
      <sz val="10"/>
      <name val="Arial"/>
      <family val="2"/>
    </font>
    <font>
      <b val="true"/>
      <sz val="10"/>
      <color rgb="FFC240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F2A"/>
        <bgColor rgb="FF1A1A1A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E0DA"/>
      </left>
      <right style="thin">
        <color rgb="FFD5E0DA"/>
      </right>
      <top style="thin">
        <color rgb="FFD5E0DA"/>
      </top>
      <bottom style="thin">
        <color rgb="FFD5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7CC"/>
      <rgbColor rgb="FFCCFFFF"/>
      <rgbColor rgb="FF660066"/>
      <rgbColor rgb="FFFF8080"/>
      <rgbColor rgb="FF0066CC"/>
      <rgbColor rgb="FFD5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2F2A"/>
      <rgbColor rgb="FF333300"/>
      <rgbColor rgb="FFC2402A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6" t="n">
        <v>100000</v>
      </c>
      <c r="D6" s="2" t="s">
        <v>5</v>
      </c>
    </row>
    <row r="7" customFormat="false" ht="15" hidden="false" customHeight="false" outlineLevel="0" collapsed="false">
      <c r="A7" s="5" t="s">
        <v>6</v>
      </c>
      <c r="B7" s="6" t="n">
        <v>4000000</v>
      </c>
      <c r="D7" s="2" t="s">
        <v>7</v>
      </c>
    </row>
    <row r="8" customFormat="false" ht="15" hidden="false" customHeight="false" outlineLevel="0" collapsed="false">
      <c r="A8" s="5" t="s">
        <v>8</v>
      </c>
      <c r="B8" s="6" t="n">
        <v>2000000</v>
      </c>
      <c r="D8" s="2" t="s">
        <v>9</v>
      </c>
    </row>
    <row r="9" customFormat="false" ht="15" hidden="false" customHeight="false" outlineLevel="0" collapsed="false">
      <c r="A9" s="5" t="s">
        <v>10</v>
      </c>
      <c r="B9" s="7" t="n">
        <v>12</v>
      </c>
      <c r="D9" s="2" t="s">
        <v>11</v>
      </c>
    </row>
    <row r="10" customFormat="false" ht="15" hidden="false" customHeight="false" outlineLevel="0" collapsed="false">
      <c r="A10" s="5" t="s">
        <v>12</v>
      </c>
      <c r="B10" s="6" t="n">
        <v>300</v>
      </c>
      <c r="D10" s="2" t="s">
        <v>13</v>
      </c>
    </row>
    <row r="12" customFormat="false" ht="15" hidden="false" customHeight="false" outlineLevel="0" collapsed="false">
      <c r="A12" s="3" t="s">
        <v>14</v>
      </c>
      <c r="B12" s="4"/>
      <c r="C12" s="4"/>
      <c r="D12" s="4"/>
    </row>
    <row r="13" customFormat="false" ht="15" hidden="false" customHeight="false" outlineLevel="0" collapsed="false">
      <c r="A13" s="5" t="s">
        <v>15</v>
      </c>
      <c r="B13" s="8" t="n">
        <v>0.25</v>
      </c>
      <c r="D13" s="2" t="s">
        <v>16</v>
      </c>
    </row>
    <row r="14" customFormat="false" ht="15" hidden="false" customHeight="false" outlineLevel="0" collapsed="false">
      <c r="A14" s="5" t="s">
        <v>17</v>
      </c>
      <c r="B14" s="9" t="n">
        <f aca="false">B6*B13</f>
        <v>25000</v>
      </c>
    </row>
    <row r="15" customFormat="false" ht="15" hidden="false" customHeight="false" outlineLevel="0" collapsed="false">
      <c r="A15" s="5" t="s">
        <v>18</v>
      </c>
      <c r="B15" s="9" t="n">
        <f aca="false">B9*B10</f>
        <v>3600</v>
      </c>
    </row>
    <row r="16" customFormat="false" ht="15" hidden="false" customHeight="false" outlineLevel="0" collapsed="false">
      <c r="A16" s="10" t="s">
        <v>19</v>
      </c>
      <c r="B16" s="11" t="n">
        <f aca="false">B14+B15</f>
        <v>28600</v>
      </c>
      <c r="D16" s="2" t="s">
        <v>20</v>
      </c>
    </row>
    <row r="17" customFormat="false" ht="15" hidden="false" customHeight="false" outlineLevel="0" collapsed="false">
      <c r="A17" s="5" t="s">
        <v>21</v>
      </c>
      <c r="B17" s="9" t="n">
        <f aca="false">B7*B13</f>
        <v>1000000</v>
      </c>
      <c r="D17" s="2" t="s">
        <v>22</v>
      </c>
    </row>
    <row r="19" customFormat="false" ht="15" hidden="false" customHeight="false" outlineLevel="0" collapsed="false">
      <c r="A19" s="3" t="s">
        <v>23</v>
      </c>
      <c r="B19" s="4"/>
      <c r="C19" s="4"/>
      <c r="D19" s="4"/>
    </row>
    <row r="20" customFormat="false" ht="15" hidden="false" customHeight="false" outlineLevel="0" collapsed="false">
      <c r="A20" s="12" t="s">
        <v>24</v>
      </c>
      <c r="B20" s="12" t="s">
        <v>25</v>
      </c>
      <c r="C20" s="12" t="s">
        <v>26</v>
      </c>
    </row>
    <row r="21" customFormat="false" ht="15" hidden="false" customHeight="false" outlineLevel="0" collapsed="false">
      <c r="A21" s="13" t="n">
        <v>1000</v>
      </c>
      <c r="B21" s="14" t="n">
        <f aca="false">A21*$B$16</f>
        <v>28600000</v>
      </c>
      <c r="C21" s="14" t="n">
        <f aca="false">A21*$B$17</f>
        <v>1000000000</v>
      </c>
    </row>
    <row r="22" customFormat="false" ht="15" hidden="false" customHeight="false" outlineLevel="0" collapsed="false">
      <c r="A22" s="13" t="n">
        <v>10000</v>
      </c>
      <c r="B22" s="14" t="n">
        <f aca="false">A22*$B$16</f>
        <v>286000000</v>
      </c>
      <c r="C22" s="14" t="n">
        <f aca="false">A22*$B$17</f>
        <v>10000000000</v>
      </c>
    </row>
    <row r="23" customFormat="false" ht="15" hidden="false" customHeight="false" outlineLevel="0" collapsed="false">
      <c r="A23" s="13" t="n">
        <v>100000</v>
      </c>
      <c r="B23" s="14" t="n">
        <f aca="false">A23*$B$16</f>
        <v>2860000000</v>
      </c>
      <c r="C23" s="14" t="n">
        <f aca="false">A23*$B$17</f>
        <v>100000000000</v>
      </c>
    </row>
    <row r="24" customFormat="false" ht="15" hidden="false" customHeight="false" outlineLevel="0" collapsed="false">
      <c r="A24" s="13" t="n">
        <v>1000000</v>
      </c>
      <c r="B24" s="14" t="n">
        <f aca="false">A24*$B$16</f>
        <v>28600000000</v>
      </c>
      <c r="C24" s="14" t="n">
        <f aca="false">A24*$B$17</f>
        <v>1000000000000</v>
      </c>
    </row>
    <row r="26" customFormat="false" ht="15" hidden="false" customHeight="false" outlineLevel="0" collapsed="false">
      <c r="A26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6" min="5" style="0" width="16"/>
  </cols>
  <sheetData>
    <row r="1" customFormat="false" ht="18.5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2" t="s">
        <v>30</v>
      </c>
    </row>
    <row r="5" customFormat="false" ht="15" hidden="false" customHeight="false" outlineLevel="0" collapsed="false">
      <c r="A5" s="5" t="s">
        <v>31</v>
      </c>
      <c r="B5" s="6" t="n">
        <v>354</v>
      </c>
      <c r="C5" s="2" t="s">
        <v>32</v>
      </c>
    </row>
    <row r="6" customFormat="false" ht="15" hidden="false" customHeight="false" outlineLevel="0" collapsed="false">
      <c r="A6" s="5" t="s">
        <v>33</v>
      </c>
      <c r="B6" s="8" t="n">
        <v>0.05</v>
      </c>
    </row>
    <row r="7" customFormat="false" ht="15" hidden="false" customHeight="false" outlineLevel="0" collapsed="false">
      <c r="A7" s="5" t="s">
        <v>34</v>
      </c>
      <c r="B7" s="9" t="n">
        <f aca="false">B5*B6</f>
        <v>17.7</v>
      </c>
      <c r="C7" s="2" t="s">
        <v>35</v>
      </c>
    </row>
    <row r="8" customFormat="false" ht="15" hidden="false" customHeight="false" outlineLevel="0" collapsed="false">
      <c r="A8" s="5" t="s">
        <v>36</v>
      </c>
      <c r="B8" s="6" t="n">
        <v>15</v>
      </c>
      <c r="C8" s="2" t="s">
        <v>37</v>
      </c>
    </row>
    <row r="9" customFormat="false" ht="15" hidden="false" customHeight="false" outlineLevel="0" collapsed="false">
      <c r="A9" s="5" t="s">
        <v>38</v>
      </c>
      <c r="B9" s="6" t="n">
        <v>150000</v>
      </c>
      <c r="C9" s="2" t="s">
        <v>39</v>
      </c>
    </row>
    <row r="10" customFormat="false" ht="15" hidden="false" customHeight="false" outlineLevel="0" collapsed="false">
      <c r="A10" s="5" t="s">
        <v>40</v>
      </c>
      <c r="B10" s="9" t="n">
        <f aca="false">B7-B8</f>
        <v>2.7</v>
      </c>
      <c r="C10" s="2" t="s">
        <v>41</v>
      </c>
    </row>
    <row r="11" customFormat="false" ht="15" hidden="false" customHeight="false" outlineLevel="0" collapsed="false">
      <c r="A11" s="10" t="s">
        <v>42</v>
      </c>
      <c r="B11" s="15" t="n">
        <f aca="false">IF(B10&gt;0,B9/B10,0)</f>
        <v>55555.5555555556</v>
      </c>
      <c r="C11" s="2" t="s">
        <v>43</v>
      </c>
    </row>
    <row r="13" customFormat="false" ht="15" hidden="false" customHeight="false" outlineLevel="0" collapsed="false">
      <c r="A13" s="12" t="s">
        <v>44</v>
      </c>
    </row>
    <row r="14" customFormat="false" ht="15" hidden="false" customHeight="false" outlineLevel="0" collapsed="false">
      <c r="A14" s="16" t="s">
        <v>45</v>
      </c>
      <c r="B14" s="16" t="s">
        <v>46</v>
      </c>
      <c r="C14" s="16" t="s">
        <v>47</v>
      </c>
      <c r="D14" s="16" t="s">
        <v>48</v>
      </c>
      <c r="E14" s="16" t="s">
        <v>49</v>
      </c>
    </row>
    <row r="15" customFormat="false" ht="15" hidden="false" customHeight="false" outlineLevel="0" collapsed="false">
      <c r="A15" s="13" t="n">
        <v>100</v>
      </c>
      <c r="B15" s="17" t="n">
        <f aca="false">$B$9/A15+$B$8</f>
        <v>1515</v>
      </c>
      <c r="C15" s="17" t="n">
        <f aca="false">$B$7</f>
        <v>17.7</v>
      </c>
      <c r="D15" s="17" t="n">
        <f aca="false">C15-B15</f>
        <v>-1497.3</v>
      </c>
      <c r="E15" s="17" t="n">
        <f aca="false">A15*(C15-$B$8)-$B$9</f>
        <v>-149730</v>
      </c>
    </row>
    <row r="16" customFormat="false" ht="15" hidden="false" customHeight="false" outlineLevel="0" collapsed="false">
      <c r="A16" s="13" t="n">
        <v>500</v>
      </c>
      <c r="B16" s="17" t="n">
        <f aca="false">$B$9/A16+$B$8</f>
        <v>315</v>
      </c>
      <c r="C16" s="17" t="n">
        <f aca="false">$B$7</f>
        <v>17.7</v>
      </c>
      <c r="D16" s="17" t="n">
        <f aca="false">C16-B16</f>
        <v>-297.3</v>
      </c>
      <c r="E16" s="17" t="n">
        <f aca="false">A16*(C16-$B$8)-$B$9</f>
        <v>-148650</v>
      </c>
    </row>
    <row r="17" customFormat="false" ht="15" hidden="false" customHeight="false" outlineLevel="0" collapsed="false">
      <c r="A17" s="13" t="n">
        <v>1000</v>
      </c>
      <c r="B17" s="17" t="n">
        <f aca="false">$B$9/A17+$B$8</f>
        <v>165</v>
      </c>
      <c r="C17" s="17" t="n">
        <f aca="false">$B$7</f>
        <v>17.7</v>
      </c>
      <c r="D17" s="17" t="n">
        <f aca="false">C17-B17</f>
        <v>-147.3</v>
      </c>
      <c r="E17" s="17" t="n">
        <f aca="false">A17*(C17-$B$8)-$B$9</f>
        <v>-147300</v>
      </c>
    </row>
    <row r="18" customFormat="false" ht="15" hidden="false" customHeight="false" outlineLevel="0" collapsed="false">
      <c r="A18" s="13" t="n">
        <v>5000</v>
      </c>
      <c r="B18" s="17" t="n">
        <f aca="false">$B$9/A18+$B$8</f>
        <v>45</v>
      </c>
      <c r="C18" s="17" t="n">
        <f aca="false">$B$7</f>
        <v>17.7</v>
      </c>
      <c r="D18" s="17" t="n">
        <f aca="false">C18-B18</f>
        <v>-27.3</v>
      </c>
      <c r="E18" s="17" t="n">
        <f aca="false">A18*(C18-$B$8)-$B$9</f>
        <v>-136500</v>
      </c>
    </row>
    <row r="19" customFormat="false" ht="15" hidden="false" customHeight="false" outlineLevel="0" collapsed="false">
      <c r="A19" s="13" t="n">
        <v>10000</v>
      </c>
      <c r="B19" s="17" t="n">
        <f aca="false">$B$9/A19+$B$8</f>
        <v>30</v>
      </c>
      <c r="C19" s="17" t="n">
        <f aca="false">$B$7</f>
        <v>17.7</v>
      </c>
      <c r="D19" s="17" t="n">
        <f aca="false">C19-B19</f>
        <v>-12.3</v>
      </c>
      <c r="E19" s="17" t="n">
        <f aca="false">A19*(C19-$B$8)-$B$9</f>
        <v>-123000</v>
      </c>
    </row>
    <row r="20" customFormat="false" ht="15" hidden="false" customHeight="false" outlineLevel="0" collapsed="false">
      <c r="A20" s="13" t="n">
        <v>50000</v>
      </c>
      <c r="B20" s="17" t="n">
        <f aca="false">$B$9/A20+$B$8</f>
        <v>18</v>
      </c>
      <c r="C20" s="17" t="n">
        <f aca="false">$B$7</f>
        <v>17.7</v>
      </c>
      <c r="D20" s="17" t="n">
        <f aca="false">C20-B20</f>
        <v>-0.300000000000001</v>
      </c>
      <c r="E20" s="17" t="n">
        <f aca="false">A20*(C20-$B$8)-$B$9</f>
        <v>-15000</v>
      </c>
    </row>
    <row r="21" customFormat="false" ht="15" hidden="false" customHeight="false" outlineLevel="0" collapsed="false">
      <c r="A21" s="13" t="n">
        <v>100000</v>
      </c>
      <c r="B21" s="17" t="n">
        <f aca="false">$B$9/A21+$B$8</f>
        <v>16.5</v>
      </c>
      <c r="C21" s="17" t="n">
        <f aca="false">$B$7</f>
        <v>17.7</v>
      </c>
      <c r="D21" s="17" t="n">
        <f aca="false">C21-B21</f>
        <v>1.2</v>
      </c>
      <c r="E21" s="17" t="n">
        <f aca="false">A21*(C21-$B$8)-$B$9</f>
        <v>120000</v>
      </c>
    </row>
    <row r="22" customFormat="false" ht="15" hidden="false" customHeight="false" outlineLevel="0" collapsed="false">
      <c r="A22" s="13" t="n">
        <v>500000</v>
      </c>
      <c r="B22" s="17" t="n">
        <f aca="false">$B$9/A22+$B$8</f>
        <v>15.3</v>
      </c>
      <c r="C22" s="17" t="n">
        <f aca="false">$B$7</f>
        <v>17.7</v>
      </c>
      <c r="D22" s="17" t="n">
        <f aca="false">C22-B22</f>
        <v>2.4</v>
      </c>
      <c r="E22" s="17" t="n">
        <f aca="false">A22*(C22-$B$8)-$B$9</f>
        <v>1200000</v>
      </c>
    </row>
    <row r="24" customFormat="false" ht="15" hidden="false" customHeight="false" outlineLevel="0" collapsed="false">
      <c r="A24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8.5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</row>
    <row r="5" customFormat="false" ht="15" hidden="false" customHeight="false" outlineLevel="0" collapsed="false">
      <c r="A5" s="5" t="s">
        <v>59</v>
      </c>
      <c r="B5" s="7" t="n">
        <v>500</v>
      </c>
      <c r="C5" s="7" t="n">
        <v>10000</v>
      </c>
      <c r="D5" s="7" t="n">
        <v>60000</v>
      </c>
      <c r="E5" s="7" t="n">
        <v>200000</v>
      </c>
      <c r="F5" s="7" t="n">
        <v>500000</v>
      </c>
    </row>
    <row r="6" customFormat="false" ht="15" hidden="false" customHeight="false" outlineLevel="0" collapsed="false">
      <c r="A6" s="5" t="s">
        <v>60</v>
      </c>
      <c r="B6" s="18" t="n">
        <f aca="false">B5*'Cost curve &amp; breakeven'!$B$6</f>
        <v>25</v>
      </c>
      <c r="C6" s="18" t="n">
        <f aca="false">C5*'Cost curve &amp; breakeven'!$B$6</f>
        <v>500</v>
      </c>
      <c r="D6" s="18" t="n">
        <f aca="false">D5*'Cost curve &amp; breakeven'!$B$6</f>
        <v>3000</v>
      </c>
      <c r="E6" s="18" t="n">
        <f aca="false">E5*'Cost curve &amp; breakeven'!$B$6</f>
        <v>10000</v>
      </c>
      <c r="F6" s="18" t="n">
        <f aca="false">F5*'Cost curve &amp; breakeven'!$B$6</f>
        <v>25000</v>
      </c>
    </row>
    <row r="7" customFormat="false" ht="15" hidden="false" customHeight="false" outlineLevel="0" collapsed="false">
      <c r="A7" s="10" t="s">
        <v>61</v>
      </c>
      <c r="B7" s="11" t="n">
        <f aca="false">B6*'Cost curve &amp; breakeven'!$B$5</f>
        <v>8850</v>
      </c>
      <c r="C7" s="11" t="n">
        <f aca="false">C6*'Cost curve &amp; breakeven'!$B$5</f>
        <v>177000</v>
      </c>
      <c r="D7" s="11" t="n">
        <f aca="false">D6*'Cost curve &amp; breakeven'!$B$5</f>
        <v>1062000</v>
      </c>
      <c r="E7" s="11" t="n">
        <f aca="false">E6*'Cost curve &amp; breakeven'!$B$5</f>
        <v>3540000</v>
      </c>
      <c r="F7" s="11" t="n">
        <f aca="false">F6*'Cost curve &amp; breakeven'!$B$5</f>
        <v>8850000</v>
      </c>
    </row>
    <row r="8" customFormat="false" ht="15" hidden="false" customHeight="false" outlineLevel="0" collapsed="false">
      <c r="A8" s="5" t="s">
        <v>62</v>
      </c>
      <c r="B8" s="9" t="n">
        <f aca="false">'Cost curve &amp; breakeven'!$B$9+B5*'Cost curve &amp; breakeven'!$B$8</f>
        <v>157500</v>
      </c>
      <c r="C8" s="9" t="n">
        <f aca="false">'Cost curve &amp; breakeven'!$B$9+C5*'Cost curve &amp; breakeven'!$B$8</f>
        <v>300000</v>
      </c>
      <c r="D8" s="9" t="n">
        <f aca="false">'Cost curve &amp; breakeven'!$B$9+D5*'Cost curve &amp; breakeven'!$B$8</f>
        <v>1050000</v>
      </c>
      <c r="E8" s="9" t="n">
        <f aca="false">'Cost curve &amp; breakeven'!$B$9+E5*'Cost curve &amp; breakeven'!$B$8</f>
        <v>3150000</v>
      </c>
      <c r="F8" s="9" t="n">
        <f aca="false">'Cost curve &amp; breakeven'!$B$9+F5*'Cost curve &amp; breakeven'!$B$8</f>
        <v>7650000</v>
      </c>
      <c r="G8" s="2" t="s">
        <v>63</v>
      </c>
    </row>
    <row r="9" customFormat="false" ht="15" hidden="false" customHeight="false" outlineLevel="0" collapsed="false">
      <c r="A9" s="10" t="s">
        <v>64</v>
      </c>
      <c r="B9" s="11" t="n">
        <f aca="false">B7-B8</f>
        <v>-148650</v>
      </c>
      <c r="C9" s="11" t="n">
        <f aca="false">C7-C8</f>
        <v>-123000</v>
      </c>
      <c r="D9" s="11" t="n">
        <f aca="false">D7-D8</f>
        <v>12000</v>
      </c>
      <c r="E9" s="11" t="n">
        <f aca="false">E7-E8</f>
        <v>390000</v>
      </c>
      <c r="F9" s="11" t="n">
        <f aca="false">F7-F8</f>
        <v>1200000</v>
      </c>
    </row>
    <row r="10" customFormat="false" ht="15" hidden="false" customHeight="false" outlineLevel="0" collapsed="false">
      <c r="A10" s="5" t="s">
        <v>65</v>
      </c>
      <c r="B10" s="9" t="n">
        <f aca="false">B5*'Value per user'!$B$16</f>
        <v>14300000</v>
      </c>
      <c r="C10" s="9" t="n">
        <f aca="false">C5*'Value per user'!$B$16</f>
        <v>286000000</v>
      </c>
      <c r="D10" s="9" t="n">
        <f aca="false">D5*'Value per user'!$B$16</f>
        <v>1716000000</v>
      </c>
      <c r="E10" s="9" t="n">
        <f aca="false">E5*'Value per user'!$B$16</f>
        <v>5720000000</v>
      </c>
      <c r="F10" s="9" t="n">
        <f aca="false">F5*'Value per user'!$B$16</f>
        <v>14300000000</v>
      </c>
      <c r="G10" s="2" t="s">
        <v>66</v>
      </c>
    </row>
    <row r="12" customFormat="false" ht="15" hidden="false" customHeight="false" outlineLevel="0" collapsed="false">
      <c r="A12" s="2" t="s">
        <v>67</v>
      </c>
    </row>
    <row r="13" customFormat="false" ht="15" hidden="false" customHeight="false" outlineLevel="0" collapsed="false">
      <c r="A13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2026-09-09T00:19:39Z</dcterms:created>
  <dc:creator>openpyxl</dc:creator>
  <dc:description/>
  <dc:language>en-US</dc:language>
  <cp:lastModifiedBy/>
  <dcterms:modified xsi:type="dcterms:W3CDTF">2026-09-09T00:19:39Z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